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chendq/Library/CloudStorage/GoogleDrive-chendq@uw.edu/My Drive/furnace_improvement/Entry_model/"/>
    </mc:Choice>
  </mc:AlternateContent>
  <xr:revisionPtr revIDLastSave="0" documentId="13_ncr:1_{869E3A85-DE05-AA43-8AFB-454E9C4CD24E}" xr6:coauthVersionLast="47" xr6:coauthVersionMax="47" xr10:uidLastSave="{00000000-0000-0000-0000-000000000000}"/>
  <bookViews>
    <workbookView xWindow="562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CW8wNWEWqswdMhD3f8tP1j3qzio2g1l+2sPANW/85c="/>
    </ext>
  </extLst>
</workbook>
</file>

<file path=xl/calcChain.xml><?xml version="1.0" encoding="utf-8"?>
<calcChain xmlns="http://schemas.openxmlformats.org/spreadsheetml/2006/main">
  <c r="C12" i="1" l="1"/>
  <c r="C10" i="1"/>
  <c r="C9" i="1"/>
  <c r="C8" i="1"/>
</calcChain>
</file>

<file path=xl/sharedStrings.xml><?xml version="1.0" encoding="utf-8"?>
<sst xmlns="http://schemas.openxmlformats.org/spreadsheetml/2006/main" count="40" uniqueCount="40">
  <si>
    <t>Name</t>
  </si>
  <si>
    <t>260414t3</t>
  </si>
  <si>
    <t>260525t4</t>
  </si>
  <si>
    <t>260526t1</t>
  </si>
  <si>
    <t>260526t2</t>
  </si>
  <si>
    <t>260526t3</t>
  </si>
  <si>
    <t>260526t4</t>
  </si>
  <si>
    <t>260414t2</t>
  </si>
  <si>
    <t>260413t3</t>
  </si>
  <si>
    <t>260414t1</t>
  </si>
  <si>
    <t>260525t1</t>
  </si>
  <si>
    <t>260525t2</t>
  </si>
  <si>
    <t>260525t3</t>
  </si>
  <si>
    <t>260415t1</t>
  </si>
  <si>
    <t>260413t2</t>
  </si>
  <si>
    <t>260310t5</t>
  </si>
  <si>
    <t>260317t3</t>
  </si>
  <si>
    <t>260317t2</t>
  </si>
  <si>
    <t>260526t5</t>
  </si>
  <si>
    <t>260219t3</t>
  </si>
  <si>
    <t>260219t5</t>
  </si>
  <si>
    <t>260413t1</t>
  </si>
  <si>
    <t>260219t4</t>
  </si>
  <si>
    <t>260219t1</t>
  </si>
  <si>
    <t>260219t2</t>
  </si>
  <si>
    <t>260204t1</t>
  </si>
  <si>
    <t>260204t2</t>
  </si>
  <si>
    <t>260204t3</t>
  </si>
  <si>
    <t>260310t2</t>
  </si>
  <si>
    <t>260310t4</t>
  </si>
  <si>
    <t>260310t3</t>
  </si>
  <si>
    <t>260310t1</t>
  </si>
  <si>
    <t>251029t2</t>
  </si>
  <si>
    <t>260526t6</t>
  </si>
  <si>
    <t>rate constant mol/(m2 s Pa)</t>
  </si>
  <si>
    <t>sigma: rate constant mol/(m2 s Pa)</t>
  </si>
  <si>
    <t>GC measured CO (ppm)</t>
  </si>
  <si>
    <t>Temperature K</t>
  </si>
  <si>
    <t>Pressure (mbar)</t>
  </si>
  <si>
    <t>GC measured CO sigma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</si>
</sst>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14" sqref="E14"/>
    </sheetView>
  </sheetViews>
  <sheetFormatPr baseColWidth="10" defaultColWidth="11.1640625" defaultRowHeight="15" customHeight="1" x14ac:dyDescent="0.2"/>
  <cols>
    <col min="1" max="7" width="23.33203125" style="1" customWidth="1"/>
    <col min="8" max="11" width="10.5" style="1" customWidth="1"/>
    <col min="12" max="16384" width="11.1640625" style="1"/>
  </cols>
  <sheetData>
    <row r="1" spans="1:7" ht="15.75" customHeight="1" x14ac:dyDescent="0.2">
      <c r="A1" s="2" t="s">
        <v>0</v>
      </c>
      <c r="B1" s="2" t="s">
        <v>37</v>
      </c>
      <c r="C1" s="2" t="s">
        <v>36</v>
      </c>
      <c r="D1" s="2" t="s">
        <v>39</v>
      </c>
      <c r="E1" s="2" t="s">
        <v>34</v>
      </c>
      <c r="F1" s="2" t="s">
        <v>35</v>
      </c>
      <c r="G1" s="3" t="s">
        <v>38</v>
      </c>
    </row>
    <row r="2" spans="1:7" ht="15.75" customHeight="1" x14ac:dyDescent="0.2">
      <c r="A2" s="4" t="s">
        <v>32</v>
      </c>
      <c r="B2" s="4">
        <v>1986</v>
      </c>
      <c r="C2" s="5">
        <v>4214</v>
      </c>
      <c r="D2" s="5">
        <v>0</v>
      </c>
      <c r="E2" s="6">
        <v>9.0696100000000004E-7</v>
      </c>
      <c r="F2" s="7">
        <v>0</v>
      </c>
      <c r="G2" s="8">
        <v>1000</v>
      </c>
    </row>
    <row r="3" spans="1:7" ht="15.75" customHeight="1" x14ac:dyDescent="0.2">
      <c r="A3" s="4" t="s">
        <v>28</v>
      </c>
      <c r="B3" s="4">
        <v>2047</v>
      </c>
      <c r="C3" s="5">
        <v>4810</v>
      </c>
      <c r="D3" s="5">
        <v>256</v>
      </c>
      <c r="E3" s="6">
        <v>1.04412E-6</v>
      </c>
      <c r="F3" s="6">
        <v>3.4806400000000003E-8</v>
      </c>
      <c r="G3" s="8">
        <v>1000</v>
      </c>
    </row>
    <row r="4" spans="1:7" ht="15.75" customHeight="1" x14ac:dyDescent="0.2">
      <c r="A4" s="4" t="s">
        <v>29</v>
      </c>
      <c r="B4" s="4">
        <v>2073</v>
      </c>
      <c r="C4" s="5">
        <v>5048.5</v>
      </c>
      <c r="D4" s="5">
        <v>92.74</v>
      </c>
      <c r="E4" s="6">
        <v>9.8588100000000007E-7</v>
      </c>
      <c r="F4" s="6">
        <v>1.20272E-8</v>
      </c>
      <c r="G4" s="8">
        <v>1000</v>
      </c>
    </row>
    <row r="5" spans="1:7" ht="15.75" customHeight="1" x14ac:dyDescent="0.2">
      <c r="A5" s="4" t="s">
        <v>30</v>
      </c>
      <c r="B5" s="4">
        <v>2075</v>
      </c>
      <c r="C5" s="5">
        <v>6089</v>
      </c>
      <c r="D5" s="5">
        <v>120.5</v>
      </c>
      <c r="E5" s="6">
        <v>1.0619599999999999E-6</v>
      </c>
      <c r="F5" s="6">
        <v>1.60386E-8</v>
      </c>
      <c r="G5" s="8">
        <v>1000</v>
      </c>
    </row>
    <row r="6" spans="1:7" ht="15.75" customHeight="1" x14ac:dyDescent="0.2">
      <c r="A6" s="4" t="s">
        <v>33</v>
      </c>
      <c r="B6" s="4">
        <v>2126</v>
      </c>
      <c r="C6" s="5">
        <v>3762</v>
      </c>
      <c r="D6" s="5">
        <v>80</v>
      </c>
      <c r="E6" s="6">
        <v>1.06896E-6</v>
      </c>
      <c r="F6" s="6">
        <v>9.99072E-9</v>
      </c>
      <c r="G6" s="8">
        <v>1000</v>
      </c>
    </row>
    <row r="7" spans="1:7" ht="15.75" customHeight="1" x14ac:dyDescent="0.2">
      <c r="A7" s="4" t="s">
        <v>31</v>
      </c>
      <c r="B7" s="4">
        <v>2129</v>
      </c>
      <c r="C7" s="5">
        <v>6027</v>
      </c>
      <c r="D7" s="5">
        <v>211</v>
      </c>
      <c r="E7" s="6">
        <v>1.1861200000000001E-6</v>
      </c>
      <c r="F7" s="6">
        <v>2.96443E-8</v>
      </c>
      <c r="G7" s="8">
        <v>1000</v>
      </c>
    </row>
    <row r="8" spans="1:7" ht="15.75" customHeight="1" x14ac:dyDescent="0.2">
      <c r="A8" s="4" t="s">
        <v>25</v>
      </c>
      <c r="B8" s="4">
        <v>1517</v>
      </c>
      <c r="C8" s="5">
        <f>3023</f>
        <v>3023</v>
      </c>
      <c r="D8" s="5">
        <v>135.62</v>
      </c>
      <c r="E8" s="6">
        <v>1.17613E-6</v>
      </c>
      <c r="F8" s="6">
        <v>2.4497800000000001E-8</v>
      </c>
      <c r="G8" s="8">
        <v>250</v>
      </c>
    </row>
    <row r="9" spans="1:7" ht="15.75" customHeight="1" x14ac:dyDescent="0.2">
      <c r="A9" s="4" t="s">
        <v>27</v>
      </c>
      <c r="B9" s="4">
        <v>1561</v>
      </c>
      <c r="C9" s="5">
        <f>5754</f>
        <v>5754</v>
      </c>
      <c r="D9" s="5">
        <v>203.6</v>
      </c>
      <c r="E9" s="6">
        <v>1.71192E-6</v>
      </c>
      <c r="F9" s="6">
        <v>3.3652600000000002E-8</v>
      </c>
      <c r="G9" s="8">
        <v>250</v>
      </c>
    </row>
    <row r="10" spans="1:7" ht="15.75" customHeight="1" x14ac:dyDescent="0.2">
      <c r="A10" s="4" t="s">
        <v>26</v>
      </c>
      <c r="B10" s="4">
        <v>1576</v>
      </c>
      <c r="C10" s="5">
        <f>6463</f>
        <v>6463</v>
      </c>
      <c r="D10" s="5">
        <v>277.8</v>
      </c>
      <c r="E10" s="6">
        <v>2.1792400000000001E-6</v>
      </c>
      <c r="F10" s="6">
        <v>4.7629100000000001E-8</v>
      </c>
      <c r="G10" s="8">
        <v>250</v>
      </c>
    </row>
    <row r="11" spans="1:7" ht="15.75" customHeight="1" x14ac:dyDescent="0.2">
      <c r="A11" s="4" t="s">
        <v>19</v>
      </c>
      <c r="B11" s="4">
        <v>1990</v>
      </c>
      <c r="C11" s="5">
        <v>6848</v>
      </c>
      <c r="D11" s="5">
        <v>0</v>
      </c>
      <c r="E11" s="6">
        <v>1.71465E-6</v>
      </c>
      <c r="F11" s="7">
        <v>0</v>
      </c>
      <c r="G11" s="8">
        <v>250</v>
      </c>
    </row>
    <row r="12" spans="1:7" ht="15.75" customHeight="1" x14ac:dyDescent="0.2">
      <c r="A12" s="4" t="s">
        <v>20</v>
      </c>
      <c r="B12" s="4">
        <v>2017</v>
      </c>
      <c r="C12" s="5">
        <f>10098</f>
        <v>10098</v>
      </c>
      <c r="D12" s="5">
        <v>240</v>
      </c>
      <c r="E12" s="6">
        <v>1.8708299999999999E-6</v>
      </c>
      <c r="F12" s="6">
        <v>2.97518E-8</v>
      </c>
      <c r="G12" s="8">
        <v>250</v>
      </c>
    </row>
    <row r="13" spans="1:7" ht="15.75" customHeight="1" x14ac:dyDescent="0.2">
      <c r="A13" s="4" t="s">
        <v>21</v>
      </c>
      <c r="B13" s="4">
        <v>2018</v>
      </c>
      <c r="C13" s="5">
        <v>9960</v>
      </c>
      <c r="D13" s="5">
        <v>40.799999999999997</v>
      </c>
      <c r="E13" s="6">
        <v>2.5062499999999999E-6</v>
      </c>
      <c r="F13" s="6">
        <v>5.5028900000000002E-9</v>
      </c>
      <c r="G13" s="8">
        <v>250</v>
      </c>
    </row>
    <row r="14" spans="1:7" ht="15.75" customHeight="1" x14ac:dyDescent="0.2">
      <c r="A14" s="4" t="s">
        <v>22</v>
      </c>
      <c r="B14" s="4">
        <v>2039</v>
      </c>
      <c r="C14" s="5">
        <v>6807</v>
      </c>
      <c r="D14" s="5">
        <v>123.39</v>
      </c>
      <c r="E14" s="6">
        <v>1.68767E-6</v>
      </c>
      <c r="F14" s="6">
        <v>1.6401599999999998E-8</v>
      </c>
      <c r="G14" s="8">
        <v>250</v>
      </c>
    </row>
    <row r="15" spans="1:7" ht="15.75" customHeight="1" x14ac:dyDescent="0.2">
      <c r="A15" s="4" t="s">
        <v>23</v>
      </c>
      <c r="B15" s="4">
        <v>2074</v>
      </c>
      <c r="C15" s="5">
        <v>11342</v>
      </c>
      <c r="D15" s="5">
        <v>399</v>
      </c>
      <c r="E15" s="6">
        <v>2.3224899999999999E-6</v>
      </c>
      <c r="F15" s="6">
        <v>5.2322100000000002E-8</v>
      </c>
      <c r="G15" s="8">
        <v>250</v>
      </c>
    </row>
    <row r="16" spans="1:7" ht="15.75" customHeight="1" x14ac:dyDescent="0.2">
      <c r="A16" s="4" t="s">
        <v>24</v>
      </c>
      <c r="B16" s="4">
        <v>2152</v>
      </c>
      <c r="C16" s="5">
        <v>11640</v>
      </c>
      <c r="D16" s="5">
        <v>359.5</v>
      </c>
      <c r="E16" s="6">
        <v>2.4128200000000001E-6</v>
      </c>
      <c r="F16" s="6">
        <v>4.5354999999999998E-8</v>
      </c>
      <c r="G16" s="8">
        <v>250</v>
      </c>
    </row>
    <row r="17" spans="1:7" ht="15.75" customHeight="1" x14ac:dyDescent="0.2">
      <c r="A17" s="4" t="s">
        <v>13</v>
      </c>
      <c r="B17" s="4">
        <v>1984</v>
      </c>
      <c r="C17" s="5">
        <v>15126</v>
      </c>
      <c r="D17" s="5">
        <v>136</v>
      </c>
      <c r="E17" s="6">
        <v>3.75021E-6</v>
      </c>
      <c r="F17" s="6">
        <v>1.78665E-8</v>
      </c>
      <c r="G17" s="8">
        <v>100</v>
      </c>
    </row>
    <row r="18" spans="1:7" ht="15.75" customHeight="1" x14ac:dyDescent="0.2">
      <c r="A18" s="4" t="s">
        <v>14</v>
      </c>
      <c r="B18" s="4">
        <v>2045</v>
      </c>
      <c r="C18" s="5">
        <v>15408</v>
      </c>
      <c r="D18" s="5">
        <v>102</v>
      </c>
      <c r="E18" s="6">
        <v>3.8201299999999996E-6</v>
      </c>
      <c r="F18" s="6">
        <v>1.35762E-8</v>
      </c>
      <c r="G18" s="8">
        <v>100</v>
      </c>
    </row>
    <row r="19" spans="1:7" ht="15.75" customHeight="1" x14ac:dyDescent="0.2">
      <c r="A19" s="4" t="s">
        <v>15</v>
      </c>
      <c r="B19" s="4">
        <v>2056</v>
      </c>
      <c r="C19" s="5">
        <v>19514</v>
      </c>
      <c r="D19" s="5">
        <v>1089</v>
      </c>
      <c r="E19" s="6">
        <v>3.4630900000000001E-6</v>
      </c>
      <c r="F19" s="6">
        <v>1.3944200000000001E-7</v>
      </c>
      <c r="G19" s="8">
        <v>100</v>
      </c>
    </row>
    <row r="20" spans="1:7" ht="15.75" customHeight="1" x14ac:dyDescent="0.2">
      <c r="A20" s="4" t="s">
        <v>16</v>
      </c>
      <c r="B20" s="4">
        <v>2078</v>
      </c>
      <c r="C20" s="5">
        <v>15101</v>
      </c>
      <c r="D20" s="5">
        <v>198.6</v>
      </c>
      <c r="E20" s="6">
        <v>3.4404499999999998E-6</v>
      </c>
      <c r="F20" s="6">
        <v>2.3802800000000001E-8</v>
      </c>
      <c r="G20" s="8">
        <v>100</v>
      </c>
    </row>
    <row r="21" spans="1:7" ht="15.75" customHeight="1" x14ac:dyDescent="0.2">
      <c r="A21" s="4" t="s">
        <v>17</v>
      </c>
      <c r="B21" s="4">
        <v>2149</v>
      </c>
      <c r="C21" s="5">
        <v>21702</v>
      </c>
      <c r="D21" s="5">
        <v>404</v>
      </c>
      <c r="E21" s="6">
        <v>3.7849800000000001E-6</v>
      </c>
      <c r="F21" s="6">
        <v>5.2393700000000003E-8</v>
      </c>
      <c r="G21" s="8">
        <v>100</v>
      </c>
    </row>
    <row r="22" spans="1:7" ht="15.75" customHeight="1" x14ac:dyDescent="0.2">
      <c r="A22" s="4" t="s">
        <v>18</v>
      </c>
      <c r="B22" s="4">
        <v>2149</v>
      </c>
      <c r="C22" s="5">
        <v>16744.5</v>
      </c>
      <c r="D22" s="5">
        <v>64.5</v>
      </c>
      <c r="E22" s="6">
        <v>4.3654800000000003E-6</v>
      </c>
      <c r="F22" s="6">
        <v>8.0550199999999998E-9</v>
      </c>
      <c r="G22" s="8">
        <v>100</v>
      </c>
    </row>
    <row r="23" spans="1:7" ht="15.75" customHeight="1" x14ac:dyDescent="0.2">
      <c r="A23" s="4" t="s">
        <v>7</v>
      </c>
      <c r="B23" s="4">
        <v>1926</v>
      </c>
      <c r="C23" s="5">
        <v>17627</v>
      </c>
      <c r="D23" s="5">
        <v>459</v>
      </c>
      <c r="E23" s="6">
        <v>4.5955600000000003E-6</v>
      </c>
      <c r="F23" s="6">
        <v>5.95265E-8</v>
      </c>
      <c r="G23" s="8">
        <v>60</v>
      </c>
    </row>
    <row r="24" spans="1:7" ht="15.75" customHeight="1" x14ac:dyDescent="0.2">
      <c r="A24" s="4" t="s">
        <v>11</v>
      </c>
      <c r="B24" s="4">
        <v>1929</v>
      </c>
      <c r="C24" s="5">
        <v>17848</v>
      </c>
      <c r="D24" s="5">
        <v>881</v>
      </c>
      <c r="E24" s="6">
        <v>4.2580999999999999E-6</v>
      </c>
      <c r="F24" s="6">
        <v>1.1224E-7</v>
      </c>
      <c r="G24" s="8">
        <v>60</v>
      </c>
    </row>
    <row r="25" spans="1:7" ht="13" customHeight="1" x14ac:dyDescent="0.2">
      <c r="A25" s="4" t="s">
        <v>10</v>
      </c>
      <c r="B25" s="4">
        <v>1974</v>
      </c>
      <c r="C25" s="5">
        <v>19452</v>
      </c>
      <c r="D25" s="5">
        <v>224</v>
      </c>
      <c r="E25" s="6">
        <v>4.6189900000000003E-6</v>
      </c>
      <c r="F25" s="6">
        <v>3.01316E-8</v>
      </c>
      <c r="G25" s="8">
        <v>60</v>
      </c>
    </row>
    <row r="26" spans="1:7" ht="15.75" customHeight="1" x14ac:dyDescent="0.2">
      <c r="A26" s="4" t="s">
        <v>8</v>
      </c>
      <c r="B26" s="4">
        <v>1989</v>
      </c>
      <c r="C26" s="5">
        <v>21285</v>
      </c>
      <c r="D26" s="5">
        <v>893</v>
      </c>
      <c r="E26" s="6">
        <v>5.1264499999999999E-6</v>
      </c>
      <c r="F26" s="6">
        <v>1.18858E-7</v>
      </c>
      <c r="G26" s="8">
        <v>60</v>
      </c>
    </row>
    <row r="27" spans="1:7" ht="15.75" customHeight="1" x14ac:dyDescent="0.2">
      <c r="A27" s="4" t="s">
        <v>9</v>
      </c>
      <c r="B27" s="4">
        <v>2006</v>
      </c>
      <c r="C27" s="5">
        <v>21015</v>
      </c>
      <c r="D27" s="5">
        <v>663</v>
      </c>
      <c r="E27" s="6">
        <v>4.5422999999999997E-6</v>
      </c>
      <c r="F27" s="6">
        <v>8.8013699999999994E-8</v>
      </c>
      <c r="G27" s="8">
        <v>60</v>
      </c>
    </row>
    <row r="28" spans="1:7" ht="15.75" customHeight="1" x14ac:dyDescent="0.2">
      <c r="A28" s="4" t="s">
        <v>12</v>
      </c>
      <c r="B28" s="4">
        <v>2064</v>
      </c>
      <c r="C28" s="5">
        <v>17894</v>
      </c>
      <c r="D28" s="5">
        <v>218</v>
      </c>
      <c r="E28" s="6">
        <v>4.30973E-6</v>
      </c>
      <c r="F28" s="6">
        <v>2.7292099999999999E-8</v>
      </c>
      <c r="G28" s="8">
        <v>60</v>
      </c>
    </row>
    <row r="29" spans="1:7" ht="15.75" customHeight="1" x14ac:dyDescent="0.2">
      <c r="A29" s="4" t="s">
        <v>3</v>
      </c>
      <c r="B29" s="4">
        <v>1963</v>
      </c>
      <c r="C29" s="5">
        <v>22715</v>
      </c>
      <c r="D29" s="5">
        <v>360</v>
      </c>
      <c r="E29" s="6">
        <v>5.3937999999999999E-6</v>
      </c>
      <c r="F29" s="6">
        <v>4.5181400000000001E-8</v>
      </c>
      <c r="G29" s="8">
        <v>40</v>
      </c>
    </row>
    <row r="30" spans="1:7" ht="15.75" customHeight="1" x14ac:dyDescent="0.2">
      <c r="A30" s="4" t="s">
        <v>1</v>
      </c>
      <c r="B30" s="4">
        <v>1969</v>
      </c>
      <c r="C30" s="5">
        <v>19727</v>
      </c>
      <c r="D30" s="5">
        <v>637.5</v>
      </c>
      <c r="E30" s="6">
        <v>4.7987600000000003E-6</v>
      </c>
      <c r="F30" s="6">
        <v>6.8233899999999995E-8</v>
      </c>
      <c r="G30" s="8">
        <v>40</v>
      </c>
    </row>
    <row r="31" spans="1:7" ht="15.75" customHeight="1" x14ac:dyDescent="0.2">
      <c r="A31" s="4" t="s">
        <v>4</v>
      </c>
      <c r="B31" s="4">
        <v>1978</v>
      </c>
      <c r="C31" s="5">
        <v>21538</v>
      </c>
      <c r="D31" s="5">
        <v>852</v>
      </c>
      <c r="E31" s="6">
        <v>5.26256E-6</v>
      </c>
      <c r="F31" s="6">
        <v>1.05619E-7</v>
      </c>
      <c r="G31" s="8">
        <v>40</v>
      </c>
    </row>
    <row r="32" spans="1:7" ht="15.75" customHeight="1" x14ac:dyDescent="0.2">
      <c r="A32" s="4" t="s">
        <v>2</v>
      </c>
      <c r="B32" s="4">
        <v>1999</v>
      </c>
      <c r="C32" s="5">
        <v>16898</v>
      </c>
      <c r="D32" s="5">
        <v>77.5</v>
      </c>
      <c r="E32" s="6">
        <v>6.3308700000000003E-6</v>
      </c>
      <c r="F32" s="6">
        <v>9.9235400000000007E-9</v>
      </c>
      <c r="G32" s="8">
        <v>40</v>
      </c>
    </row>
    <row r="33" spans="1:7" ht="15.75" customHeight="1" x14ac:dyDescent="0.2">
      <c r="A33" s="4" t="s">
        <v>5</v>
      </c>
      <c r="B33" s="4">
        <v>2117</v>
      </c>
      <c r="C33" s="5">
        <v>26630</v>
      </c>
      <c r="D33" s="5">
        <v>1046</v>
      </c>
      <c r="E33" s="6">
        <v>7.52454E-6</v>
      </c>
      <c r="F33" s="6">
        <v>1.3326099999999999E-7</v>
      </c>
      <c r="G33" s="8">
        <v>40</v>
      </c>
    </row>
    <row r="34" spans="1:7" ht="15.75" customHeight="1" x14ac:dyDescent="0.2">
      <c r="A34" s="4" t="s">
        <v>6</v>
      </c>
      <c r="B34" s="4">
        <v>2135</v>
      </c>
      <c r="C34" s="5">
        <v>29325</v>
      </c>
      <c r="D34" s="5">
        <v>155</v>
      </c>
      <c r="E34" s="6">
        <v>7.13077E-6</v>
      </c>
      <c r="F34" s="6">
        <v>1.9356999999999999E-8</v>
      </c>
      <c r="G34" s="8">
        <v>40</v>
      </c>
    </row>
    <row r="35" spans="1:7" ht="15.75" customHeight="1" x14ac:dyDescent="0.2"/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Danqiu Chen</dc:creator>
  <cp:lastModifiedBy>Danqiu Chen</cp:lastModifiedBy>
  <dcterms:created xsi:type="dcterms:W3CDTF">2026-05-26T06:02:12Z</dcterms:created>
  <dcterms:modified xsi:type="dcterms:W3CDTF">2026-06-29T21:11:16Z</dcterms:modified>
</cp:coreProperties>
</file>